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Gaps" state="visible" r:id="rId5"/>
    <sheet sheetId="3" name="Summary" state="visible" r:id="rId6"/>
    <sheet sheetId="4" name="Snapshots" state="visible" r:id="rId7"/>
    <sheet sheetId="5" name="Meetings" state="visible" r:id="rId8"/>
    <sheet sheetId="6" name="Meeting Items" state="visible" r:id="rId9"/>
    <sheet sheetId="7" name="Requests" state="visible" r:id="rId10"/>
  </sheets>
  <calcPr calcId="171027" fullCalcOnLoad="1"/>
</workbook>
</file>

<file path=xl/sharedStrings.xml><?xml version="1.0" encoding="utf-8"?>
<sst xmlns="http://schemas.openxmlformats.org/spreadsheetml/2006/main" count="166" uniqueCount="105">
  <si>
    <t>ARB Cybersecurity GRC Tracker — Instructions</t>
  </si>
  <si>
    <t/>
  </si>
  <si>
    <t>This single workbook is the data source for the ARB Cybersecurity Compliance web app (index.html).</t>
  </si>
  <si>
    <t>IMPORTANT: Do not rename any sheet or any column header. The app matches data by exact sheet name and header text.</t>
  </si>
  <si>
    <t>IMPORTANT: Close this file in Excel before saving changes from the app — Excel locks the file for writing while it is open.</t>
  </si>
  <si>
    <t>Sheets in this workbook:</t>
  </si>
  <si>
    <t xml:space="preserve">  - Gaps: one row per control / gap, across all 10 frameworks.</t>
  </si>
  <si>
    <t xml:space="preserve">  - Summary: auto-calculated rollups per framework (formulas — do not edit).</t>
  </si>
  <si>
    <t xml:space="preserve">  - Snapshots: historical compliance % captured by the "Take snapshot" button, used for trend charts.</t>
  </si>
  <si>
    <t xml:space="preserve">  - Meetings: one row per weekly Minutes of Meeting.</t>
  </si>
  <si>
    <t xml:space="preserve">  - Meeting Items: one row per gap discussed in a meeting.</t>
  </si>
  <si>
    <t xml:space="preserve">  - Requests: SAMA regulatory requests (main and sub-requests).</t>
  </si>
  <si>
    <t>You can edit data directly in this file OR through the web app. Both read and write the same rows.</t>
  </si>
  <si>
    <t>The app will re-read the latest file content and create a timestamped backup before every save.</t>
  </si>
  <si>
    <t>If you connect the wrong file by mistake, use the "Reset" button in the app to disconnect it and pick the correct one.</t>
  </si>
  <si>
    <t>Frameworks tracked: SAMA CSF, NCA ECC, NCA DCC, NCA CCC, NCA CSCC, NCA OSMACC, NCA TCC, SWIFT CSCF, PCI DSS, RTGS</t>
  </si>
  <si>
    <t>Compliance % for a framework = (Baseline Compliant rows + Gap - Closed rows) / (all rows except Not Applicable).</t>
  </si>
  <si>
    <t>Rollups: Payments Overall = SWIFT CSCF + PCI DSS + RTGS. NCA Overall = all NCA frameworks. ARB Cybersecurity Compliance = all 10 frameworks.</t>
  </si>
  <si>
    <t>For NCA ECC, the "NCA Half" column lets you split evidence into H1 / H2 half-year cycles; the dashboard can view Combined, H1 only, or H2 only.</t>
  </si>
  <si>
    <t>Gap ID</t>
  </si>
  <si>
    <t>Framework</t>
  </si>
  <si>
    <t>NCA Half</t>
  </si>
  <si>
    <t>Domain</t>
  </si>
  <si>
    <t>Control ID</t>
  </si>
  <si>
    <t>Control Description</t>
  </si>
  <si>
    <t>Status</t>
  </si>
  <si>
    <t>Owner</t>
  </si>
  <si>
    <t>Target Date</t>
  </si>
  <si>
    <t>Remediation Action</t>
  </si>
  <si>
    <t>Comments</t>
  </si>
  <si>
    <t>Closed Date</t>
  </si>
  <si>
    <t>Last Updated</t>
  </si>
  <si>
    <t>GAP-0001</t>
  </si>
  <si>
    <t>SAMA CSF</t>
  </si>
  <si>
    <t>Governance</t>
  </si>
  <si>
    <t>GV-01</t>
  </si>
  <si>
    <t>Cybersecurity strategy approved by the board</t>
  </si>
  <si>
    <t>Baseline Compliant</t>
  </si>
  <si>
    <t>N. Al-Otaibi</t>
  </si>
  <si>
    <t>Example row — replace or delete</t>
  </si>
  <si>
    <t>GAP-0002</t>
  </si>
  <si>
    <t>NCA ECC</t>
  </si>
  <si>
    <t>H2</t>
  </si>
  <si>
    <t>Asset Management</t>
  </si>
  <si>
    <t>2-7-1</t>
  </si>
  <si>
    <t>Asset inventory maintained and reviewed</t>
  </si>
  <si>
    <t>Gap - Open</t>
  </si>
  <si>
    <t>Deploy CMDB and reconcile quarterly</t>
  </si>
  <si>
    <t>GAP-0003</t>
  </si>
  <si>
    <t>SWIFT CSCF</t>
  </si>
  <si>
    <t>Access Control</t>
  </si>
  <si>
    <t>5.1</t>
  </si>
  <si>
    <t>Logical access control</t>
  </si>
  <si>
    <t>Gap - In Progress</t>
  </si>
  <si>
    <t>M. Al-Harbi</t>
  </si>
  <si>
    <t>Roll out MFA to remaining SWIFT terminals</t>
  </si>
  <si>
    <t>Total Controls</t>
  </si>
  <si>
    <t>Gaps Closed</t>
  </si>
  <si>
    <t>Gaps Open</t>
  </si>
  <si>
    <t>Compliance %</t>
  </si>
  <si>
    <t>NCA DCC</t>
  </si>
  <si>
    <t>NCA CCC</t>
  </si>
  <si>
    <t>NCA CSCC</t>
  </si>
  <si>
    <t>NCA OSMACC</t>
  </si>
  <si>
    <t>NCA TCC</t>
  </si>
  <si>
    <t>PCI DSS</t>
  </si>
  <si>
    <t>RTGS</t>
  </si>
  <si>
    <t>Date</t>
  </si>
  <si>
    <t>Meeting ID</t>
  </si>
  <si>
    <t>Title</t>
  </si>
  <si>
    <t>Attendees</t>
  </si>
  <si>
    <t>Chair</t>
  </si>
  <si>
    <t>Notes</t>
  </si>
  <si>
    <t>Comment</t>
  </si>
  <si>
    <t>Action</t>
  </si>
  <si>
    <t>Action Owner</t>
  </si>
  <si>
    <t>Due Date</t>
  </si>
  <si>
    <t>Action Status</t>
  </si>
  <si>
    <t>Request ID</t>
  </si>
  <si>
    <t>Request Name</t>
  </si>
  <si>
    <t>Type</t>
  </si>
  <si>
    <t>Parent Request ID</t>
  </si>
  <si>
    <t>Received Date</t>
  </si>
  <si>
    <t>Receipt Date</t>
  </si>
  <si>
    <t>Due Status</t>
  </si>
  <si>
    <t>Number of Actions</t>
  </si>
  <si>
    <t>Completion Date</t>
  </si>
  <si>
    <t>Days to Complete</t>
  </si>
  <si>
    <t>Evidences Path</t>
  </si>
  <si>
    <t>REQ-0001</t>
  </si>
  <si>
    <t>Annual Cybersecurity Self-Assessment 2026</t>
  </si>
  <si>
    <t>Main Request</t>
  </si>
  <si>
    <t>In Progress</t>
  </si>
  <si>
    <t>C:\GRC\SAMA\2026\SelfAssessment\</t>
  </si>
  <si>
    <t>REQ-0002</t>
  </si>
  <si>
    <t>Evidence for control 4.2 — access reviews</t>
  </si>
  <si>
    <t>Sub Request</t>
  </si>
  <si>
    <t>Closed</t>
  </si>
  <si>
    <t>C:\GRC\SAMA\2026\SelfAssessment\4.2\</t>
  </si>
  <si>
    <t>REQ-0003</t>
  </si>
  <si>
    <t>Incident notification — Q3 phishing campaign</t>
  </si>
  <si>
    <t>Open</t>
  </si>
  <si>
    <t>REQ-0004</t>
  </si>
  <si>
    <t>Nasser</t>
  </si>
  <si>
    <t>dddd/dddd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</si>
</sst>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4" x14ac:knownFonts="1">
    <font>
      <color theme="1"/>
      <family val="2"/>
      <scheme val="minor"/>
      <sz val="11"/>
      <name val="Calibri"/>
    </font>
    <font>
      <b/>
      <color rgb="FF0001EB"/>
      <sz val="14"/>
    </font>
    <font>
      <b/>
      <color rgb="FFA83A2C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01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left" vertical="center" wrapText="1"/>
    </xf>
    <xf numFmtId="9" fontId="0" fillId="0" borderId="0" xfId="0" applyNumberFormat="1"/>
    <xf numFmtId="9" fontId="3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1EB"/>
  </sheetPr>
  <dimension ref="A1:A24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1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2" t="s">
        <v>1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</v>
      </c>
    </row>
    <row r="20" spans="1:1" x14ac:dyDescent="0.25">
      <c r="A20" s="2" t="s">
        <v>15</v>
      </c>
    </row>
    <row r="21" spans="1:1" x14ac:dyDescent="0.25">
      <c r="A21" s="2" t="s">
        <v>1</v>
      </c>
    </row>
    <row r="22" spans="1:1" x14ac:dyDescent="0.25">
      <c r="A22" s="2" t="s">
        <v>16</v>
      </c>
    </row>
    <row r="23" spans="1:1" x14ac:dyDescent="0.25">
      <c r="A23" s="2" t="s">
        <v>17</v>
      </c>
    </row>
    <row r="24" spans="1:1" x14ac:dyDescent="0.25">
      <c r="A2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1EB"/>
  </sheetPr>
  <dimension ref="A1:M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40" customWidth="1"/>
    <col min="7" max="8" width="18" customWidth="1"/>
    <col min="9" max="9" width="18" style="4" customWidth="1"/>
    <col min="10" max="10" width="36" customWidth="1"/>
    <col min="11" max="11" width="30" customWidth="1"/>
    <col min="12" max="12" width="18" style="4" customWidth="1"/>
    <col min="13" max="13" width="18" style="5" customWidth="1"/>
  </cols>
  <sheetData>
    <row r="1" ht="20" customHeight="1" spans="1:13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7" t="s">
        <v>27</v>
      </c>
      <c r="J1" s="6" t="s">
        <v>28</v>
      </c>
      <c r="K1" s="6" t="s">
        <v>29</v>
      </c>
      <c r="L1" s="7" t="s">
        <v>30</v>
      </c>
      <c r="M1" s="8" t="s">
        <v>31</v>
      </c>
    </row>
    <row r="2" spans="1:13" x14ac:dyDescent="0.25">
      <c r="A2" t="s">
        <v>32</v>
      </c>
      <c r="B2" t="s">
        <v>33</v>
      </c>
      <c r="C2" t="s">
        <v>1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s="4"/>
      <c r="J2" t="s">
        <v>1</v>
      </c>
      <c r="K2" t="s">
        <v>39</v>
      </c>
      <c r="L2" s="4"/>
      <c r="M2" s="5">
        <v>46281.7682528125</v>
      </c>
    </row>
    <row r="3" spans="1:13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38</v>
      </c>
      <c r="I3" s="4">
        <v>46387</v>
      </c>
      <c r="J3" t="s">
        <v>47</v>
      </c>
      <c r="K3" t="s">
        <v>39</v>
      </c>
      <c r="L3" s="4"/>
      <c r="M3" s="5">
        <v>46281.7682528125</v>
      </c>
    </row>
    <row r="4" spans="1:13" x14ac:dyDescent="0.25">
      <c r="A4" t="s">
        <v>48</v>
      </c>
      <c r="B4" t="s">
        <v>49</v>
      </c>
      <c r="C4" t="s">
        <v>1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s="4">
        <v>46341</v>
      </c>
      <c r="J4" t="s">
        <v>55</v>
      </c>
      <c r="K4" t="s">
        <v>39</v>
      </c>
      <c r="L4" s="4"/>
      <c r="M4" s="5">
        <v>46281.7682528125</v>
      </c>
    </row>
  </sheetData>
  <dataValidations count="6">
    <dataValidation type="list" allowBlank="1" showErrorMessage="1" errorStyle="stop" errorTitle="Invalid entry" error="Please choose a value from the dropdown list." sqref="B10:B1000">
      <formula1>"SAMA CSF,NCA ECC,NCA DCC,NCA CCC,NCA CSCC,NCA OSMACC,NCA TCC,SWIFT CSCF,PCI DSS,RTGS"</formula1>
    </dataValidation>
    <dataValidation type="list" allowBlank="1" showErrorMessage="1" errorStyle="stop" errorTitle="Invalid entry" error="Please choose a value from the dropdown list." sqref="B2:B1000">
      <formula1>"SAMA CSF,NCA ECC,NCA DCC,NCA CCC,NCA CSCC,NCA OSMACC,NCA TCC,SWIFT CSCF,PCI DSS,RTGS"</formula1>
    </dataValidation>
    <dataValidation type="list" allowBlank="1" showErrorMessage="1" errorStyle="stop" errorTitle="Invalid entry" error="Please choose a value from the dropdown list." sqref="C10:C1000">
      <formula1>"H1,H2,N/A"</formula1>
    </dataValidation>
    <dataValidation type="list" allowBlank="1" showErrorMessage="1" errorStyle="stop" errorTitle="Invalid entry" error="Please choose a value from the dropdown list." sqref="C2:C1000">
      <formula1>"H1,H2,N/A"</formula1>
    </dataValidation>
    <dataValidation type="list" allowBlank="1" showErrorMessage="1" errorStyle="stop" errorTitle="Invalid entry" error="Please choose a value from the dropdown list." sqref="G10:G1000">
      <formula1>"Baseline Compliant,Gap - Open,Gap - In Progress,Gap - Closed,Not Applicable"</formula1>
    </dataValidation>
    <dataValidation type="list" allowBlank="1" showErrorMessage="1" errorStyle="stop" errorTitle="Invalid entry" error="Please choose a value from the dropdown list." sqref="G2:G1000">
      <formula1>"Baseline Compliant,Gap - Open,Gap - In Progress,Gap - Closed,Not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1EB"/>
  </sheetPr>
  <dimension ref="A1:F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customWidth="1"/>
    <col min="3" max="3" width="18" customWidth="1"/>
    <col min="4" max="4" width="14" customWidth="1"/>
    <col min="5" max="5" width="12" customWidth="1"/>
    <col min="6" max="6" width="14" customWidth="1"/>
  </cols>
  <sheetData>
    <row r="1" ht="20" customHeight="1" spans="1:6" x14ac:dyDescent="0.25">
      <c r="A1" s="6" t="s">
        <v>20</v>
      </c>
      <c r="B1" s="6" t="s">
        <v>56</v>
      </c>
      <c r="C1" s="6" t="s">
        <v>37</v>
      </c>
      <c r="D1" s="6" t="s">
        <v>57</v>
      </c>
      <c r="E1" s="6" t="s">
        <v>58</v>
      </c>
      <c r="F1" s="6" t="s">
        <v>59</v>
      </c>
    </row>
    <row r="2" spans="1:6" x14ac:dyDescent="0.25">
      <c r="A2" t="s">
        <v>33</v>
      </c>
      <c r="B2">
        <f>COUNTIFS(Gaps!$B:$B,$A2,Gaps!$G:$G,"&lt;&gt;Not Applicable")</f>
      </c>
      <c r="C2">
        <f>COUNTIFS(Gaps!$B:$B,$A2,Gaps!$G:$G,"Baseline Compliant")</f>
      </c>
      <c r="D2">
        <f>COUNTIFS(Gaps!$B:$B,$A2,Gaps!$G:$G,"Gap - Closed")</f>
      </c>
      <c r="E2">
        <f>COUNTIFS(Gaps!$B:$B,$A2,Gaps!$G:$G,"Gap - Open")+COUNTIFS(Gaps!$B:$B,$A2,Gaps!$G:$G,"Gap - In Progress")</f>
      </c>
      <c r="F2" s="9">
        <f>IFERROR((C2+D2)/B2,"")</f>
      </c>
    </row>
    <row r="3" spans="1:6" x14ac:dyDescent="0.25">
      <c r="A3" t="s">
        <v>41</v>
      </c>
      <c r="B3">
        <f>COUNTIFS(Gaps!$B:$B,$A3,Gaps!$G:$G,"&lt;&gt;Not Applicable")</f>
      </c>
      <c r="C3">
        <f>COUNTIFS(Gaps!$B:$B,$A3,Gaps!$G:$G,"Baseline Compliant")</f>
      </c>
      <c r="D3">
        <f>COUNTIFS(Gaps!$B:$B,$A3,Gaps!$G:$G,"Gap - Closed")</f>
      </c>
      <c r="E3">
        <f>COUNTIFS(Gaps!$B:$B,$A3,Gaps!$G:$G,"Gap - Open")+COUNTIFS(Gaps!$B:$B,$A3,Gaps!$G:$G,"Gap - In Progress")</f>
      </c>
      <c r="F3" s="9">
        <f>IFERROR((C3+D3)/B3,"")</f>
      </c>
    </row>
    <row r="4" spans="1:6" x14ac:dyDescent="0.25">
      <c r="A4" t="s">
        <v>60</v>
      </c>
      <c r="B4">
        <f>COUNTIFS(Gaps!$B:$B,$A4,Gaps!$G:$G,"&lt;&gt;Not Applicable")</f>
      </c>
      <c r="C4">
        <f>COUNTIFS(Gaps!$B:$B,$A4,Gaps!$G:$G,"Baseline Compliant")</f>
      </c>
      <c r="D4">
        <f>COUNTIFS(Gaps!$B:$B,$A4,Gaps!$G:$G,"Gap - Closed")</f>
      </c>
      <c r="E4">
        <f>COUNTIFS(Gaps!$B:$B,$A4,Gaps!$G:$G,"Gap - Open")+COUNTIFS(Gaps!$B:$B,$A4,Gaps!$G:$G,"Gap - In Progress")</f>
      </c>
      <c r="F4" s="9">
        <f>IFERROR((C4+D4)/B4,"")</f>
      </c>
    </row>
    <row r="5" spans="1:6" x14ac:dyDescent="0.25">
      <c r="A5" t="s">
        <v>61</v>
      </c>
      <c r="B5">
        <f>COUNTIFS(Gaps!$B:$B,$A5,Gaps!$G:$G,"&lt;&gt;Not Applicable")</f>
      </c>
      <c r="C5">
        <f>COUNTIFS(Gaps!$B:$B,$A5,Gaps!$G:$G,"Baseline Compliant")</f>
      </c>
      <c r="D5">
        <f>COUNTIFS(Gaps!$B:$B,$A5,Gaps!$G:$G,"Gap - Closed")</f>
      </c>
      <c r="E5">
        <f>COUNTIFS(Gaps!$B:$B,$A5,Gaps!$G:$G,"Gap - Open")+COUNTIFS(Gaps!$B:$B,$A5,Gaps!$G:$G,"Gap - In Progress")</f>
      </c>
      <c r="F5" s="9">
        <f>IFERROR((C5+D5)/B5,"")</f>
      </c>
    </row>
    <row r="6" spans="1:6" x14ac:dyDescent="0.25">
      <c r="A6" t="s">
        <v>62</v>
      </c>
      <c r="B6">
        <f>COUNTIFS(Gaps!$B:$B,$A6,Gaps!$G:$G,"&lt;&gt;Not Applicable")</f>
      </c>
      <c r="C6">
        <f>COUNTIFS(Gaps!$B:$B,$A6,Gaps!$G:$G,"Baseline Compliant")</f>
      </c>
      <c r="D6">
        <f>COUNTIFS(Gaps!$B:$B,$A6,Gaps!$G:$G,"Gap - Closed")</f>
      </c>
      <c r="E6">
        <f>COUNTIFS(Gaps!$B:$B,$A6,Gaps!$G:$G,"Gap - Open")+COUNTIFS(Gaps!$B:$B,$A6,Gaps!$G:$G,"Gap - In Progress")</f>
      </c>
      <c r="F6" s="9">
        <f>IFERROR((C6+D6)/B6,"")</f>
      </c>
    </row>
    <row r="7" spans="1:6" x14ac:dyDescent="0.25">
      <c r="A7" t="s">
        <v>63</v>
      </c>
      <c r="B7">
        <f>COUNTIFS(Gaps!$B:$B,$A7,Gaps!$G:$G,"&lt;&gt;Not Applicable")</f>
      </c>
      <c r="C7">
        <f>COUNTIFS(Gaps!$B:$B,$A7,Gaps!$G:$G,"Baseline Compliant")</f>
      </c>
      <c r="D7">
        <f>COUNTIFS(Gaps!$B:$B,$A7,Gaps!$G:$G,"Gap - Closed")</f>
      </c>
      <c r="E7">
        <f>COUNTIFS(Gaps!$B:$B,$A7,Gaps!$G:$G,"Gap - Open")+COUNTIFS(Gaps!$B:$B,$A7,Gaps!$G:$G,"Gap - In Progress")</f>
      </c>
      <c r="F7" s="9">
        <f>IFERROR((C7+D7)/B7,"")</f>
      </c>
    </row>
    <row r="8" spans="1:6" x14ac:dyDescent="0.25">
      <c r="A8" t="s">
        <v>64</v>
      </c>
      <c r="B8">
        <f>COUNTIFS(Gaps!$B:$B,$A8,Gaps!$G:$G,"&lt;&gt;Not Applicable")</f>
      </c>
      <c r="C8">
        <f>COUNTIFS(Gaps!$B:$B,$A8,Gaps!$G:$G,"Baseline Compliant")</f>
      </c>
      <c r="D8">
        <f>COUNTIFS(Gaps!$B:$B,$A8,Gaps!$G:$G,"Gap - Closed")</f>
      </c>
      <c r="E8">
        <f>COUNTIFS(Gaps!$B:$B,$A8,Gaps!$G:$G,"Gap - Open")+COUNTIFS(Gaps!$B:$B,$A8,Gaps!$G:$G,"Gap - In Progress")</f>
      </c>
      <c r="F8" s="9">
        <f>IFERROR((C8+D8)/B8,"")</f>
      </c>
    </row>
    <row r="9" spans="1:6" x14ac:dyDescent="0.25">
      <c r="A9" t="s">
        <v>49</v>
      </c>
      <c r="B9">
        <f>COUNTIFS(Gaps!$B:$B,$A9,Gaps!$G:$G,"&lt;&gt;Not Applicable")</f>
      </c>
      <c r="C9">
        <f>COUNTIFS(Gaps!$B:$B,$A9,Gaps!$G:$G,"Baseline Compliant")</f>
      </c>
      <c r="D9">
        <f>COUNTIFS(Gaps!$B:$B,$A9,Gaps!$G:$G,"Gap - Closed")</f>
      </c>
      <c r="E9">
        <f>COUNTIFS(Gaps!$B:$B,$A9,Gaps!$G:$G,"Gap - Open")+COUNTIFS(Gaps!$B:$B,$A9,Gaps!$G:$G,"Gap - In Progress")</f>
      </c>
      <c r="F9" s="9">
        <f>IFERROR((C9+D9)/B9,"")</f>
      </c>
    </row>
    <row r="10" spans="1:6" x14ac:dyDescent="0.25">
      <c r="A10" t="s">
        <v>65</v>
      </c>
      <c r="B10">
        <f>COUNTIFS(Gaps!$B:$B,$A10,Gaps!$G:$G,"&lt;&gt;Not Applicable")</f>
      </c>
      <c r="C10">
        <f>COUNTIFS(Gaps!$B:$B,$A10,Gaps!$G:$G,"Baseline Compliant")</f>
      </c>
      <c r="D10">
        <f>COUNTIFS(Gaps!$B:$B,$A10,Gaps!$G:$G,"Gap - Closed")</f>
      </c>
      <c r="E10">
        <f>COUNTIFS(Gaps!$B:$B,$A10,Gaps!$G:$G,"Gap - Open")+COUNTIFS(Gaps!$B:$B,$A10,Gaps!$G:$G,"Gap - In Progress")</f>
      </c>
      <c r="F10" s="9">
        <f>IFERROR((C10+D10)/B10,"")</f>
      </c>
    </row>
    <row r="11" spans="1:6" x14ac:dyDescent="0.25">
      <c r="A11" t="s">
        <v>66</v>
      </c>
      <c r="B11">
        <f>COUNTIFS(Gaps!$B:$B,$A11,Gaps!$G:$G,"&lt;&gt;Not Applicable")</f>
      </c>
      <c r="C11">
        <f>COUNTIFS(Gaps!$B:$B,$A11,Gaps!$G:$G,"Baseline Compliant")</f>
      </c>
      <c r="D11">
        <f>COUNTIFS(Gaps!$B:$B,$A11,Gaps!$G:$G,"Gap - Closed")</f>
      </c>
      <c r="E11">
        <f>COUNTIFS(Gaps!$B:$B,$A11,Gaps!$G:$G,"Gap - Open")+COUNTIFS(Gaps!$B:$B,$A11,Gaps!$G:$G,"Gap - In Progress")</f>
      </c>
      <c r="F11" s="9">
        <f>IFERROR((C11+D11)/B11,"")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1EB"/>
  </sheetPr>
  <dimension ref="A1:G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4" customWidth="1"/>
    <col min="2" max="6" width="16" customWidth="1"/>
    <col min="7" max="7" width="16" style="9" customWidth="1"/>
  </cols>
  <sheetData>
    <row r="1" ht="20" customHeight="1" spans="1:7" x14ac:dyDescent="0.25">
      <c r="A1" s="7" t="s">
        <v>67</v>
      </c>
      <c r="B1" s="6" t="s">
        <v>20</v>
      </c>
      <c r="C1" s="6" t="s">
        <v>56</v>
      </c>
      <c r="D1" s="6" t="s">
        <v>37</v>
      </c>
      <c r="E1" s="6" t="s">
        <v>57</v>
      </c>
      <c r="F1" s="6" t="s">
        <v>58</v>
      </c>
      <c r="G1" s="10" t="s">
        <v>59</v>
      </c>
    </row>
    <row r="2" spans="1:7" x14ac:dyDescent="0.25">
      <c r="A2" s="7">
        <v>46281.80468234954</v>
      </c>
      <c r="B2" s="6" t="s">
        <v>33</v>
      </c>
      <c r="C2" s="6">
        <v>1</v>
      </c>
      <c r="D2" s="6">
        <v>1</v>
      </c>
      <c r="E2" s="6">
        <v>0</v>
      </c>
      <c r="F2" s="6">
        <v>0</v>
      </c>
      <c r="G2" s="10">
        <v>1</v>
      </c>
    </row>
    <row r="3" spans="1:7" x14ac:dyDescent="0.25">
      <c r="A3" s="7">
        <v>46281.80468234954</v>
      </c>
      <c r="B3" s="6" t="s">
        <v>41</v>
      </c>
      <c r="C3" s="6">
        <v>1</v>
      </c>
      <c r="D3" s="6">
        <v>0</v>
      </c>
      <c r="E3" s="6">
        <v>0</v>
      </c>
      <c r="F3" s="6">
        <v>1</v>
      </c>
      <c r="G3" s="10">
        <v>0</v>
      </c>
    </row>
    <row r="4" spans="1:7" x14ac:dyDescent="0.25">
      <c r="A4" s="7">
        <v>46281.80468234954</v>
      </c>
      <c r="B4" s="6" t="s">
        <v>60</v>
      </c>
      <c r="C4" s="6">
        <v>0</v>
      </c>
      <c r="D4" s="6">
        <v>0</v>
      </c>
      <c r="E4" s="6">
        <v>0</v>
      </c>
      <c r="F4" s="6">
        <v>0</v>
      </c>
      <c r="G4" s="10"/>
    </row>
    <row r="5" spans="1:7" x14ac:dyDescent="0.25">
      <c r="A5" s="7">
        <v>46281.80468234954</v>
      </c>
      <c r="B5" s="6" t="s">
        <v>61</v>
      </c>
      <c r="C5" s="6">
        <v>0</v>
      </c>
      <c r="D5" s="6">
        <v>0</v>
      </c>
      <c r="E5" s="6">
        <v>0</v>
      </c>
      <c r="F5" s="6">
        <v>0</v>
      </c>
      <c r="G5" s="10"/>
    </row>
    <row r="6" spans="1:7" x14ac:dyDescent="0.25">
      <c r="A6" s="7">
        <v>46281.80468234954</v>
      </c>
      <c r="B6" s="6" t="s">
        <v>62</v>
      </c>
      <c r="C6" s="6">
        <v>0</v>
      </c>
      <c r="D6" s="6">
        <v>0</v>
      </c>
      <c r="E6" s="6">
        <v>0</v>
      </c>
      <c r="F6" s="6">
        <v>0</v>
      </c>
      <c r="G6" s="10"/>
    </row>
    <row r="7" spans="1:7" x14ac:dyDescent="0.25">
      <c r="A7" s="7">
        <v>46281.80468234954</v>
      </c>
      <c r="B7" s="6" t="s">
        <v>63</v>
      </c>
      <c r="C7" s="6">
        <v>0</v>
      </c>
      <c r="D7" s="6">
        <v>0</v>
      </c>
      <c r="E7" s="6">
        <v>0</v>
      </c>
      <c r="F7" s="6">
        <v>0</v>
      </c>
      <c r="G7" s="10"/>
    </row>
    <row r="8" spans="1:7" x14ac:dyDescent="0.25">
      <c r="A8" s="7">
        <v>46281.80468234954</v>
      </c>
      <c r="B8" s="6" t="s">
        <v>64</v>
      </c>
      <c r="C8" s="6">
        <v>0</v>
      </c>
      <c r="D8" s="6">
        <v>0</v>
      </c>
      <c r="E8" s="6">
        <v>0</v>
      </c>
      <c r="F8" s="6">
        <v>0</v>
      </c>
      <c r="G8" s="10"/>
    </row>
    <row r="9" spans="1:7" x14ac:dyDescent="0.25">
      <c r="A9" s="7">
        <v>46281.80468234954</v>
      </c>
      <c r="B9" s="6" t="s">
        <v>49</v>
      </c>
      <c r="C9" s="6">
        <v>1</v>
      </c>
      <c r="D9" s="6">
        <v>0</v>
      </c>
      <c r="E9" s="6">
        <v>0</v>
      </c>
      <c r="F9" s="6">
        <v>1</v>
      </c>
      <c r="G9" s="10">
        <v>0</v>
      </c>
    </row>
    <row r="10" spans="1:7" x14ac:dyDescent="0.25">
      <c r="A10" s="7">
        <v>46281.80468234954</v>
      </c>
      <c r="B10" s="6" t="s">
        <v>65</v>
      </c>
      <c r="C10" s="6">
        <v>0</v>
      </c>
      <c r="D10" s="6">
        <v>0</v>
      </c>
      <c r="E10" s="6">
        <v>0</v>
      </c>
      <c r="F10" s="6">
        <v>0</v>
      </c>
      <c r="G10" s="10"/>
    </row>
    <row r="11" spans="1:7" x14ac:dyDescent="0.25">
      <c r="A11" s="7">
        <v>46281.80468234954</v>
      </c>
      <c r="B11" s="6" t="s">
        <v>66</v>
      </c>
      <c r="C11" s="6">
        <v>0</v>
      </c>
      <c r="D11" s="6">
        <v>0</v>
      </c>
      <c r="E11" s="6">
        <v>0</v>
      </c>
      <c r="F11" s="6">
        <v>0</v>
      </c>
      <c r="G11" s="10"/>
    </row>
    <row r="12" spans="1:7" x14ac:dyDescent="0.25">
      <c r="A12" s="7">
        <v>46281.80478402778</v>
      </c>
      <c r="B12" s="6" t="s">
        <v>33</v>
      </c>
      <c r="C12" s="6">
        <v>1</v>
      </c>
      <c r="D12" s="6">
        <v>1</v>
      </c>
      <c r="E12" s="6">
        <v>0</v>
      </c>
      <c r="F12" s="6">
        <v>0</v>
      </c>
      <c r="G12" s="10">
        <v>1</v>
      </c>
    </row>
    <row r="13" spans="1:7" x14ac:dyDescent="0.25">
      <c r="A13" s="7">
        <v>46281.80478402778</v>
      </c>
      <c r="B13" s="6" t="s">
        <v>41</v>
      </c>
      <c r="C13" s="6">
        <v>1</v>
      </c>
      <c r="D13" s="6">
        <v>0</v>
      </c>
      <c r="E13" s="6">
        <v>0</v>
      </c>
      <c r="F13" s="6">
        <v>1</v>
      </c>
      <c r="G13" s="10">
        <v>0</v>
      </c>
    </row>
    <row r="14" spans="1:7" x14ac:dyDescent="0.25">
      <c r="A14" s="7">
        <v>46281.80478402778</v>
      </c>
      <c r="B14" s="6" t="s">
        <v>60</v>
      </c>
      <c r="C14" s="6">
        <v>0</v>
      </c>
      <c r="D14" s="6">
        <v>0</v>
      </c>
      <c r="E14" s="6">
        <v>0</v>
      </c>
      <c r="F14" s="6">
        <v>0</v>
      </c>
      <c r="G14" s="10"/>
    </row>
    <row r="15" spans="1:7" x14ac:dyDescent="0.25">
      <c r="A15" s="7">
        <v>46281.80478402778</v>
      </c>
      <c r="B15" s="6" t="s">
        <v>61</v>
      </c>
      <c r="C15" s="6">
        <v>0</v>
      </c>
      <c r="D15" s="6">
        <v>0</v>
      </c>
      <c r="E15" s="6">
        <v>0</v>
      </c>
      <c r="F15" s="6">
        <v>0</v>
      </c>
      <c r="G15" s="10"/>
    </row>
    <row r="16" spans="1:7" x14ac:dyDescent="0.25">
      <c r="A16" s="7">
        <v>46281.80478402778</v>
      </c>
      <c r="B16" s="6" t="s">
        <v>62</v>
      </c>
      <c r="C16" s="6">
        <v>0</v>
      </c>
      <c r="D16" s="6">
        <v>0</v>
      </c>
      <c r="E16" s="6">
        <v>0</v>
      </c>
      <c r="F16" s="6">
        <v>0</v>
      </c>
      <c r="G16" s="10"/>
    </row>
    <row r="17" spans="1:7" x14ac:dyDescent="0.25">
      <c r="A17" s="7">
        <v>46281.80478402778</v>
      </c>
      <c r="B17" s="6" t="s">
        <v>63</v>
      </c>
      <c r="C17" s="6">
        <v>0</v>
      </c>
      <c r="D17" s="6">
        <v>0</v>
      </c>
      <c r="E17" s="6">
        <v>0</v>
      </c>
      <c r="F17" s="6">
        <v>0</v>
      </c>
      <c r="G17" s="10"/>
    </row>
    <row r="18" spans="1:7" x14ac:dyDescent="0.25">
      <c r="A18" s="7">
        <v>46281.80478402778</v>
      </c>
      <c r="B18" s="6" t="s">
        <v>64</v>
      </c>
      <c r="C18" s="6">
        <v>0</v>
      </c>
      <c r="D18" s="6">
        <v>0</v>
      </c>
      <c r="E18" s="6">
        <v>0</v>
      </c>
      <c r="F18" s="6">
        <v>0</v>
      </c>
      <c r="G18" s="10"/>
    </row>
    <row r="19" spans="1:7" x14ac:dyDescent="0.25">
      <c r="A19" s="7">
        <v>46281.80478402778</v>
      </c>
      <c r="B19" s="6" t="s">
        <v>49</v>
      </c>
      <c r="C19" s="6">
        <v>1</v>
      </c>
      <c r="D19" s="6">
        <v>0</v>
      </c>
      <c r="E19" s="6">
        <v>0</v>
      </c>
      <c r="F19" s="6">
        <v>1</v>
      </c>
      <c r="G19" s="10">
        <v>0</v>
      </c>
    </row>
    <row r="20" spans="1:7" x14ac:dyDescent="0.25">
      <c r="A20" s="7">
        <v>46281.80478402778</v>
      </c>
      <c r="B20" s="6" t="s">
        <v>65</v>
      </c>
      <c r="C20" s="6">
        <v>0</v>
      </c>
      <c r="D20" s="6">
        <v>0</v>
      </c>
      <c r="E20" s="6">
        <v>0</v>
      </c>
      <c r="F20" s="6">
        <v>0</v>
      </c>
      <c r="G20" s="10"/>
    </row>
    <row r="21" spans="1:7" x14ac:dyDescent="0.25">
      <c r="A21" s="7">
        <v>46281.80478402778</v>
      </c>
      <c r="B21" s="6" t="s">
        <v>66</v>
      </c>
      <c r="C21" s="6">
        <v>0</v>
      </c>
      <c r="D21" s="6">
        <v>0</v>
      </c>
      <c r="E21" s="6">
        <v>0</v>
      </c>
      <c r="F21" s="6">
        <v>0</v>
      </c>
      <c r="G21" s="10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1EB"/>
  </sheetPr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4" customWidth="1"/>
    <col min="3" max="3" width="18" customWidth="1"/>
    <col min="4" max="4" width="36" customWidth="1"/>
    <col min="5" max="5" width="18" customWidth="1"/>
    <col min="6" max="6" width="40" customWidth="1"/>
    <col min="7" max="7" width="18" customWidth="1"/>
  </cols>
  <sheetData>
    <row r="1" ht="20" customHeight="1" spans="1:7" x14ac:dyDescent="0.25">
      <c r="A1" s="6" t="s">
        <v>68</v>
      </c>
      <c r="B1" s="7" t="s">
        <v>67</v>
      </c>
      <c r="C1" s="6" t="s">
        <v>69</v>
      </c>
      <c r="D1" s="6" t="s">
        <v>70</v>
      </c>
      <c r="E1" s="6" t="s">
        <v>71</v>
      </c>
      <c r="F1" s="6" t="s">
        <v>72</v>
      </c>
      <c r="G1" s="6" t="s">
        <v>25</v>
      </c>
    </row>
  </sheetData>
  <dataValidations count="2">
    <dataValidation type="list" allowBlank="1" showErrorMessage="1" errorStyle="stop" errorTitle="Invalid entry" error="Please choose a value from the dropdown list." sqref="G10:G500">
      <formula1>"Draft,Finalized"</formula1>
    </dataValidation>
    <dataValidation type="list" allowBlank="1" showErrorMessage="1" errorStyle="stop" errorTitle="Invalid entry" error="Please choose a value from the dropdown list." sqref="G2:G500">
      <formula1>"Draft,Finalized"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1EB"/>
  </sheetPr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4" width="40" customWidth="1"/>
    <col min="5" max="5" width="18" customWidth="1"/>
    <col min="6" max="6" width="18" style="4" customWidth="1"/>
    <col min="7" max="7" width="18" customWidth="1"/>
  </cols>
  <sheetData>
    <row r="1" ht="20" customHeight="1" spans="1:7" x14ac:dyDescent="0.25">
      <c r="A1" s="6" t="s">
        <v>68</v>
      </c>
      <c r="B1" s="6" t="s">
        <v>19</v>
      </c>
      <c r="C1" s="6" t="s">
        <v>73</v>
      </c>
      <c r="D1" s="6" t="s">
        <v>74</v>
      </c>
      <c r="E1" s="6" t="s">
        <v>75</v>
      </c>
      <c r="F1" s="7" t="s">
        <v>76</v>
      </c>
      <c r="G1" s="6" t="s">
        <v>77</v>
      </c>
    </row>
  </sheetData>
  <dataValidations count="2">
    <dataValidation type="list" allowBlank="1" showErrorMessage="1" errorStyle="stop" errorTitle="Invalid entry" error="Please choose a value from the dropdown list." sqref="G10:G2000">
      <formula1>"Open,In Progress,Done"</formula1>
    </dataValidation>
    <dataValidation type="list" allowBlank="1" showErrorMessage="1" errorStyle="stop" errorTitle="Invalid entry" error="Please choose a value from the dropdown list." sqref="G2:G2000">
      <formula1>"Open,In Progress,Done"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1EB"/>
  </sheetPr>
  <dimension ref="A1:N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4" width="16" customWidth="1"/>
    <col min="5" max="7" width="16" style="4" customWidth="1"/>
    <col min="8" max="9" width="16" customWidth="1"/>
    <col min="10" max="10" width="16" style="4" customWidth="1"/>
    <col min="11" max="12" width="16" customWidth="1"/>
    <col min="13" max="13" width="40" customWidth="1"/>
    <col min="14" max="14" width="30" customWidth="1"/>
  </cols>
  <sheetData>
    <row r="1" ht="20" customHeight="1" spans="1:14" x14ac:dyDescent="0.25">
      <c r="A1" s="6" t="s">
        <v>78</v>
      </c>
      <c r="B1" s="6" t="s">
        <v>79</v>
      </c>
      <c r="C1" s="6" t="s">
        <v>80</v>
      </c>
      <c r="D1" s="6" t="s">
        <v>81</v>
      </c>
      <c r="E1" s="7" t="s">
        <v>82</v>
      </c>
      <c r="F1" s="7" t="s">
        <v>83</v>
      </c>
      <c r="G1" s="7" t="s">
        <v>76</v>
      </c>
      <c r="H1" s="6" t="s">
        <v>84</v>
      </c>
      <c r="I1" s="6" t="s">
        <v>85</v>
      </c>
      <c r="J1" s="7" t="s">
        <v>86</v>
      </c>
      <c r="K1" s="6" t="s">
        <v>87</v>
      </c>
      <c r="L1" s="6" t="s">
        <v>25</v>
      </c>
      <c r="M1" s="6" t="s">
        <v>88</v>
      </c>
      <c r="N1" s="6" t="s">
        <v>29</v>
      </c>
    </row>
    <row r="2" spans="1:14" x14ac:dyDescent="0.25">
      <c r="A2" t="s">
        <v>89</v>
      </c>
      <c r="B2" t="s">
        <v>90</v>
      </c>
      <c r="C2" t="s">
        <v>91</v>
      </c>
      <c r="D2" t="s">
        <v>1</v>
      </c>
      <c r="E2" s="4">
        <v>46235</v>
      </c>
      <c r="F2" s="4">
        <v>46236</v>
      </c>
      <c r="G2" s="4">
        <v>46295</v>
      </c>
      <c r="H2">
        <f>IF(G2="","",IF(J2&lt;&gt;"","Completed",IF(TODAY()&gt;G2,"Overdue by "&amp;(TODAY()-G2)&amp;" days",(G2-TODAY())&amp;" days left")))</f>
      </c>
      <c r="I2">
        <v>5</v>
      </c>
      <c r="J2" s="4"/>
      <c r="K2">
        <f>IF(J2&lt;&gt;"",IF(F2&lt;&gt;"",J2-F2,""),"")</f>
      </c>
      <c r="L2" t="s">
        <v>92</v>
      </c>
      <c r="M2" t="s">
        <v>93</v>
      </c>
      <c r="N2" t="s">
        <v>39</v>
      </c>
    </row>
    <row r="3" spans="1:14" x14ac:dyDescent="0.25">
      <c r="A3" t="s">
        <v>94</v>
      </c>
      <c r="B3" t="s">
        <v>95</v>
      </c>
      <c r="C3" t="s">
        <v>96</v>
      </c>
      <c r="D3" t="s">
        <v>89</v>
      </c>
      <c r="E3" s="4">
        <v>46239</v>
      </c>
      <c r="F3" s="4">
        <v>46239</v>
      </c>
      <c r="G3" s="4">
        <v>46275</v>
      </c>
      <c r="H3">
        <f>IF(G3="","",IF(J3&lt;&gt;"","Completed",IF(TODAY()&gt;G3,"Overdue by "&amp;(TODAY()-G3)&amp;" days",(G3-TODAY())&amp;" days left")))</f>
      </c>
      <c r="I3">
        <v>2</v>
      </c>
      <c r="J3" s="4">
        <v>46273</v>
      </c>
      <c r="K3">
        <f>IF(J3&lt;&gt;"",IF(F3&lt;&gt;"",J3-F3,""),"")</f>
      </c>
      <c r="L3" t="s">
        <v>97</v>
      </c>
      <c r="M3" t="s">
        <v>98</v>
      </c>
      <c r="N3" t="s">
        <v>39</v>
      </c>
    </row>
    <row r="4" spans="1:14" x14ac:dyDescent="0.25">
      <c r="A4" t="s">
        <v>99</v>
      </c>
      <c r="B4" t="s">
        <v>100</v>
      </c>
      <c r="C4" t="s">
        <v>91</v>
      </c>
      <c r="D4" t="s">
        <v>1</v>
      </c>
      <c r="E4" s="4">
        <v>46266</v>
      </c>
      <c r="F4" s="4">
        <v>46266</v>
      </c>
      <c r="G4" s="4">
        <v>46285</v>
      </c>
      <c r="H4">
        <f>IF(G4="","",IF(J4&lt;&gt;"","Completed",IF(TODAY()&gt;G4,"Overdue by "&amp;(TODAY()-G4)&amp;" days",(G4-TODAY())&amp;" days left")))</f>
      </c>
      <c r="I4">
        <v>3</v>
      </c>
      <c r="J4" s="4"/>
      <c r="K4">
        <f>IF(J4&lt;&gt;"",IF(F4&lt;&gt;"",J4-F4,""),"")</f>
      </c>
      <c r="L4" t="s">
        <v>101</v>
      </c>
      <c r="M4" t="s">
        <v>1</v>
      </c>
      <c r="N4" t="s">
        <v>39</v>
      </c>
    </row>
    <row r="5" spans="1:14" x14ac:dyDescent="0.25">
      <c r="A5" t="s">
        <v>102</v>
      </c>
      <c r="B5" t="s">
        <v>103</v>
      </c>
      <c r="C5" t="s">
        <v>91</v>
      </c>
      <c r="D5" t="s">
        <v>1</v>
      </c>
      <c r="E5" s="4">
        <v>46280.875</v>
      </c>
      <c r="F5" s="4"/>
      <c r="G5" s="4">
        <v>46280.875</v>
      </c>
      <c r="H5">
        <f>IF(G5="","",IF(J5&lt;&gt;"","Completed",IF(TODAY()&gt;G5,"Overdue by "&amp;(TODAY()-G5)&amp;" days",(G5-TODAY())&amp;" days left")))</f>
      </c>
      <c r="I5">
        <v>12</v>
      </c>
      <c r="J5" s="4"/>
      <c r="K5">
        <f>IF(J5&lt;&gt;"",IF(F5&lt;&gt;"",J5-F5,""),"")</f>
      </c>
      <c r="L5" t="s">
        <v>92</v>
      </c>
      <c r="M5" t="s">
        <v>104</v>
      </c>
      <c r="N5" t="s">
        <v>1</v>
      </c>
    </row>
  </sheetData>
  <dataValidations count="6">
    <dataValidation type="list" allowBlank="1" showErrorMessage="1" errorStyle="stop" errorTitle="Invalid entry" error="Please choose a value from the dropdown list." sqref="C10:C1000">
      <formula1>"Main Request,Sub Request"</formula1>
    </dataValidation>
    <dataValidation type="list" allowBlank="1" showErrorMessage="1" errorStyle="stop" errorTitle="Invalid entry" error="Please choose a value from the dropdown list." sqref="C2:C1000">
      <formula1>"Main Request,Sub Request"</formula1>
    </dataValidation>
    <dataValidation type="list" allowBlank="1" showErrorMessage="1" errorStyle="warning" errorTitle="Check Parent Request ID" error="Parent Request ID should match an existing Main Request ID." sqref="D10:D1000">
      <formula1>=$A$2:$A$1000</formula1>
    </dataValidation>
    <dataValidation type="list" allowBlank="1" showErrorMessage="1" errorStyle="warning" errorTitle="Check Parent Request ID" error="Parent Request ID should match an existing Main Request ID." sqref="D2:D1000">
      <formula1>=$A$2:$A$1000</formula1>
    </dataValidation>
    <dataValidation type="list" allowBlank="1" showErrorMessage="1" errorStyle="stop" errorTitle="Invalid entry" error="Please choose a value from the dropdown list." sqref="L10:L1000">
      <formula1>"Open,In Progress,Submitted,Closed"</formula1>
    </dataValidation>
    <dataValidation type="list" allowBlank="1" showErrorMessage="1" errorStyle="stop" errorTitle="Invalid entry" error="Please choose a value from the dropdown list." sqref="L2:L1000">
      <formula1>"Open,In Progress,Submitted,Closed"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Gaps</vt:lpstr>
      <vt:lpstr>Summary</vt:lpstr>
      <vt:lpstr>Snapshots</vt:lpstr>
      <vt:lpstr>Meetings</vt:lpstr>
      <vt:lpstr>Meeting Items</vt:lpstr>
      <vt:lpstr>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 Cybersecurity GRC App</dc:creator>
  <dc:title/>
  <dc:subject/>
  <dc:description/>
  <cp:keywords/>
  <cp:category/>
  <cp:lastModifiedBy>Unknown</cp:lastModifiedBy>
  <dcterms:created xsi:type="dcterms:W3CDTF">2026-09-16T19:08:28Z</dcterms:created>
  <dcterms:modified xsi:type="dcterms:W3CDTF">2026-09-16T19:08:28Z</dcterms:modified>
</cp:coreProperties>
</file>